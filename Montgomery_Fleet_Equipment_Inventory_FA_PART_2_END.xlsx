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4EF63E6-3AB9-4714-8748-485FF731E509}" xr6:coauthVersionLast="47" xr6:coauthVersionMax="47" xr10:uidLastSave="{00000000-0000-0000-0000-000000000000}"/>
  <bookViews>
    <workbookView xWindow="3810" yWindow="3810" windowWidth="21600" windowHeight="11385" firstSheet="2" activeTab="2" xr2:uid="{00000000-000D-0000-FFFF-FFFF00000000}"/>
  </bookViews>
  <sheets>
    <sheet name="Sheet1" sheetId="2" r:id="rId1"/>
    <sheet name="Sheet2" sheetId="3" r:id="rId2"/>
    <sheet name="Montgomery_Fleet_Equipment_Inve" sheetId="1" r:id="rId3"/>
  </sheets>
  <definedNames>
    <definedName name="_xlnm._FilterDatabase" localSheetId="2" hidden="1">Montgomery_Fleet_Equipment_Inve!$A$1:$C$50</definedName>
  </definedNames>
  <calcPr calcId="191028"/>
  <pivotCaches>
    <pivotCache cacheId="2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8" i="1"/>
  <c r="G7" i="1"/>
  <c r="G6" i="1"/>
  <c r="G5" i="1"/>
</calcChain>
</file>

<file path=xl/sharedStrings.xml><?xml version="1.0" encoding="utf-8"?>
<sst xmlns="http://schemas.openxmlformats.org/spreadsheetml/2006/main" count="169" uniqueCount="38">
  <si>
    <t>Department</t>
  </si>
  <si>
    <t>Equipment Class</t>
  </si>
  <si>
    <t>Sum of Equipment Count</t>
  </si>
  <si>
    <t>Housing and Community Affairs</t>
  </si>
  <si>
    <t>Human Rights</t>
  </si>
  <si>
    <t>Libraries</t>
  </si>
  <si>
    <t>Liquor Control</t>
  </si>
  <si>
    <t>Office Of Homeland Security</t>
  </si>
  <si>
    <t>Permitting Services</t>
  </si>
  <si>
    <t>Public Information Office</t>
  </si>
  <si>
    <t>Recreation</t>
  </si>
  <si>
    <t>Sheriffs Office</t>
  </si>
  <si>
    <t>State Attorneys Office</t>
  </si>
  <si>
    <t>Technology Services</t>
  </si>
  <si>
    <t>Transportation</t>
  </si>
  <si>
    <t>CUV</t>
  </si>
  <si>
    <t>Heavy Duty</t>
  </si>
  <si>
    <t>Medium Duty</t>
  </si>
  <si>
    <t>Off Road Vehicle Equipment</t>
  </si>
  <si>
    <t>Pick Up Trucks</t>
  </si>
  <si>
    <t>Sedan</t>
  </si>
  <si>
    <t>SUV</t>
  </si>
  <si>
    <t>Transit Bus</t>
  </si>
  <si>
    <t>Van</t>
  </si>
  <si>
    <t>Transportation Total</t>
  </si>
  <si>
    <t>Grand Total</t>
  </si>
  <si>
    <t>CUV Total</t>
  </si>
  <si>
    <t>Public Safety CUV</t>
  </si>
  <si>
    <t>Public Safety Pick Up Trucks</t>
  </si>
  <si>
    <t>Public Safety Sedan</t>
  </si>
  <si>
    <t>Public Safety SUV</t>
  </si>
  <si>
    <t>Public Safety Van</t>
  </si>
  <si>
    <t>Equipment Count</t>
  </si>
  <si>
    <t>SUM</t>
  </si>
  <si>
    <t>AVERAGE</t>
  </si>
  <si>
    <t>MIN</t>
  </si>
  <si>
    <t>MAX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</si>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</sst>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01.867368981482" createdVersion="8" refreshedVersion="8" minRefreshableVersion="3" recordCount="49" xr:uid="{F6E595CB-DBA2-4875-8292-664B576579E1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D23A3-FC37-4EB7-90D0-70F5677CB28F}" name="PivotTable2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0A209-5DA8-4466-96E1-1A3C8B18C749}" name="PivotTable3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1"/>
    </i>
    <i r="1">
      <x v="10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86788-06E5-4A04-A48A-C3B6DA9261E6}" name="PivotTable5" cacheId="2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19:F32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FBE47-57A1-4464-B0B0-F5901842EA21}" name="Table1" displayName="Table1" ref="A1:C50" totalsRowShown="0">
  <autoFilter ref="A1:C50" xr:uid="{716FBE47-57A1-4464-B0B0-F5901842EA21}"/>
  <tableColumns count="3">
    <tableColumn id="1" xr3:uid="{3B5AB0D0-EB3E-43BF-820E-EBBF197BF553}" name="Department"/>
    <tableColumn id="2" xr3:uid="{64B5FBFC-D5B2-43B1-B4ED-D28A77B965E3}" name="Equipment Class"/>
    <tableColumn id="3" xr3:uid="{C00B825E-60E9-4E2C-8AF9-28F0C087C9F5}" name="Equipment Cou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D82E-B738-452E-95F8-BE4080995C29}">
  <dimension ref="A3:C25"/>
  <sheetViews>
    <sheetView workbookViewId="0">
      <selection activeCell="B8" sqref="B8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2" t="s">
        <v>0</v>
      </c>
      <c r="B3" s="2" t="s">
        <v>1</v>
      </c>
      <c r="C3" t="s">
        <v>2</v>
      </c>
    </row>
    <row r="4" spans="1:3">
      <c r="A4" t="s">
        <v>3</v>
      </c>
      <c r="C4">
        <v>45</v>
      </c>
    </row>
    <row r="5" spans="1:3">
      <c r="A5" t="s">
        <v>4</v>
      </c>
      <c r="C5">
        <v>2</v>
      </c>
    </row>
    <row r="6" spans="1:3">
      <c r="A6" t="s">
        <v>5</v>
      </c>
      <c r="C6">
        <v>6</v>
      </c>
    </row>
    <row r="7" spans="1:3">
      <c r="A7" t="s">
        <v>6</v>
      </c>
      <c r="C7">
        <v>56</v>
      </c>
    </row>
    <row r="8" spans="1:3">
      <c r="A8" t="s">
        <v>7</v>
      </c>
      <c r="C8">
        <v>1</v>
      </c>
    </row>
    <row r="9" spans="1:3">
      <c r="A9" t="s">
        <v>8</v>
      </c>
      <c r="C9">
        <v>109</v>
      </c>
    </row>
    <row r="10" spans="1:3">
      <c r="A10" t="s">
        <v>9</v>
      </c>
      <c r="C10">
        <v>1</v>
      </c>
    </row>
    <row r="11" spans="1:3">
      <c r="A11" t="s">
        <v>10</v>
      </c>
      <c r="C11">
        <v>35</v>
      </c>
    </row>
    <row r="12" spans="1:3">
      <c r="A12" t="s">
        <v>11</v>
      </c>
      <c r="C12">
        <v>85</v>
      </c>
    </row>
    <row r="13" spans="1:3">
      <c r="A13" t="s">
        <v>12</v>
      </c>
      <c r="C13">
        <v>5</v>
      </c>
    </row>
    <row r="14" spans="1:3">
      <c r="A14" t="s">
        <v>13</v>
      </c>
      <c r="C14">
        <v>16</v>
      </c>
    </row>
    <row r="15" spans="1:3">
      <c r="A15" t="s">
        <v>14</v>
      </c>
      <c r="B15" t="s">
        <v>15</v>
      </c>
      <c r="C15">
        <v>5</v>
      </c>
    </row>
    <row r="16" spans="1:3">
      <c r="B16" t="s">
        <v>16</v>
      </c>
      <c r="C16">
        <v>248</v>
      </c>
    </row>
    <row r="17" spans="1:3">
      <c r="B17" t="s">
        <v>17</v>
      </c>
      <c r="C17">
        <v>98</v>
      </c>
    </row>
    <row r="18" spans="1:3">
      <c r="B18" t="s">
        <v>18</v>
      </c>
      <c r="C18">
        <v>276</v>
      </c>
    </row>
    <row r="19" spans="1:3">
      <c r="B19" t="s">
        <v>19</v>
      </c>
      <c r="C19">
        <v>93</v>
      </c>
    </row>
    <row r="20" spans="1:3">
      <c r="B20" t="s">
        <v>20</v>
      </c>
      <c r="C20">
        <v>37</v>
      </c>
    </row>
    <row r="21" spans="1:3">
      <c r="B21" t="s">
        <v>21</v>
      </c>
      <c r="C21">
        <v>53</v>
      </c>
    </row>
    <row r="22" spans="1:3">
      <c r="B22" t="s">
        <v>22</v>
      </c>
      <c r="C22">
        <v>379</v>
      </c>
    </row>
    <row r="23" spans="1:3">
      <c r="B23" t="s">
        <v>23</v>
      </c>
      <c r="C23">
        <v>32</v>
      </c>
    </row>
    <row r="24" spans="1:3">
      <c r="A24" t="s">
        <v>24</v>
      </c>
      <c r="C24">
        <v>1221</v>
      </c>
    </row>
    <row r="25" spans="1:3">
      <c r="A25" t="s">
        <v>25</v>
      </c>
      <c r="C25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2054D-F626-41C8-8AE0-F3B4552CB32E}">
  <dimension ref="A3:C21"/>
  <sheetViews>
    <sheetView workbookViewId="0">
      <selection activeCell="B6" sqref="B6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2" t="s">
        <v>1</v>
      </c>
      <c r="B3" s="2" t="s">
        <v>0</v>
      </c>
      <c r="C3" t="s">
        <v>2</v>
      </c>
    </row>
    <row r="4" spans="1:3">
      <c r="A4" t="s">
        <v>15</v>
      </c>
      <c r="B4" t="s">
        <v>8</v>
      </c>
      <c r="C4">
        <v>9</v>
      </c>
    </row>
    <row r="5" spans="1:3">
      <c r="B5" t="s">
        <v>14</v>
      </c>
      <c r="C5">
        <v>5</v>
      </c>
    </row>
    <row r="6" spans="1:3">
      <c r="B6" t="s">
        <v>13</v>
      </c>
      <c r="C6">
        <v>1</v>
      </c>
    </row>
    <row r="7" spans="1:3">
      <c r="A7" t="s">
        <v>26</v>
      </c>
      <c r="C7">
        <v>15</v>
      </c>
    </row>
    <row r="8" spans="1:3">
      <c r="A8" t="s">
        <v>16</v>
      </c>
      <c r="C8">
        <v>290</v>
      </c>
    </row>
    <row r="9" spans="1:3">
      <c r="A9" t="s">
        <v>17</v>
      </c>
      <c r="C9">
        <v>100</v>
      </c>
    </row>
    <row r="10" spans="1:3">
      <c r="A10" t="s">
        <v>18</v>
      </c>
      <c r="C10">
        <v>283</v>
      </c>
    </row>
    <row r="11" spans="1:3">
      <c r="A11" t="s">
        <v>19</v>
      </c>
      <c r="C11">
        <v>150</v>
      </c>
    </row>
    <row r="12" spans="1:3">
      <c r="A12" t="s">
        <v>27</v>
      </c>
      <c r="C12">
        <v>4</v>
      </c>
    </row>
    <row r="13" spans="1:3">
      <c r="A13" t="s">
        <v>28</v>
      </c>
      <c r="C13">
        <v>1</v>
      </c>
    </row>
    <row r="14" spans="1:3">
      <c r="A14" t="s">
        <v>29</v>
      </c>
      <c r="C14">
        <v>47</v>
      </c>
    </row>
    <row r="15" spans="1:3">
      <c r="A15" t="s">
        <v>30</v>
      </c>
      <c r="C15">
        <v>20</v>
      </c>
    </row>
    <row r="16" spans="1:3">
      <c r="A16" t="s">
        <v>31</v>
      </c>
      <c r="C16">
        <v>8</v>
      </c>
    </row>
    <row r="17" spans="1:3">
      <c r="A17" t="s">
        <v>20</v>
      </c>
      <c r="C17">
        <v>130</v>
      </c>
    </row>
    <row r="18" spans="1:3">
      <c r="A18" t="s">
        <v>21</v>
      </c>
      <c r="C18">
        <v>90</v>
      </c>
    </row>
    <row r="19" spans="1:3">
      <c r="A19" t="s">
        <v>22</v>
      </c>
      <c r="C19">
        <v>379</v>
      </c>
    </row>
    <row r="20" spans="1:3">
      <c r="A20" t="s">
        <v>23</v>
      </c>
      <c r="C20">
        <v>65</v>
      </c>
    </row>
    <row r="21" spans="1:3">
      <c r="A21" t="s">
        <v>25</v>
      </c>
      <c r="C21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A3" workbookViewId="0">
      <selection activeCell="F22" sqref="F22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  <col min="5" max="5" width="28.42578125" bestFit="1" customWidth="1"/>
    <col min="6" max="6" width="23.140625" bestFit="1" customWidth="1"/>
  </cols>
  <sheetData>
    <row r="1" spans="1:7">
      <c r="A1" t="s">
        <v>0</v>
      </c>
      <c r="B1" t="s">
        <v>1</v>
      </c>
      <c r="C1" t="s">
        <v>32</v>
      </c>
    </row>
    <row r="2" spans="1:7">
      <c r="A2" t="s">
        <v>3</v>
      </c>
      <c r="B2" t="s">
        <v>19</v>
      </c>
      <c r="C2">
        <v>21</v>
      </c>
    </row>
    <row r="3" spans="1:7">
      <c r="A3" t="s">
        <v>3</v>
      </c>
      <c r="B3" t="s">
        <v>21</v>
      </c>
      <c r="C3">
        <v>1</v>
      </c>
    </row>
    <row r="4" spans="1:7">
      <c r="A4" t="s">
        <v>3</v>
      </c>
      <c r="B4" t="s">
        <v>20</v>
      </c>
      <c r="C4">
        <v>23</v>
      </c>
    </row>
    <row r="5" spans="1:7">
      <c r="A5" t="s">
        <v>4</v>
      </c>
      <c r="B5" t="s">
        <v>20</v>
      </c>
      <c r="C5">
        <v>2</v>
      </c>
      <c r="F5" t="s">
        <v>33</v>
      </c>
      <c r="G5">
        <f>SUM(Table1[Equipment Count])</f>
        <v>1582</v>
      </c>
    </row>
    <row r="6" spans="1:7">
      <c r="A6" t="s">
        <v>5</v>
      </c>
      <c r="B6" t="s">
        <v>19</v>
      </c>
      <c r="C6">
        <v>3</v>
      </c>
      <c r="F6" t="s">
        <v>34</v>
      </c>
      <c r="G6" s="1">
        <f>AVERAGE(Table1[Equipment Count])</f>
        <v>32.285714285714285</v>
      </c>
    </row>
    <row r="7" spans="1:7">
      <c r="A7" t="s">
        <v>5</v>
      </c>
      <c r="B7" t="s">
        <v>23</v>
      </c>
      <c r="C7">
        <v>2</v>
      </c>
      <c r="F7" t="s">
        <v>35</v>
      </c>
      <c r="G7">
        <f>MIN(Table1[Equipment Count])</f>
        <v>1</v>
      </c>
    </row>
    <row r="8" spans="1:7">
      <c r="A8" t="s">
        <v>5</v>
      </c>
      <c r="B8" t="s">
        <v>17</v>
      </c>
      <c r="C8">
        <v>1</v>
      </c>
      <c r="F8" t="s">
        <v>36</v>
      </c>
      <c r="G8">
        <f>MAX(Table1[Equipment Count])</f>
        <v>379</v>
      </c>
    </row>
    <row r="9" spans="1:7">
      <c r="A9" t="s">
        <v>6</v>
      </c>
      <c r="B9" t="s">
        <v>23</v>
      </c>
      <c r="C9">
        <v>2</v>
      </c>
      <c r="F9" t="s">
        <v>37</v>
      </c>
      <c r="G9">
        <f>COUNT(Table1[Equipment Count])</f>
        <v>49</v>
      </c>
    </row>
    <row r="10" spans="1:7">
      <c r="A10" t="s">
        <v>6</v>
      </c>
      <c r="B10" t="s">
        <v>16</v>
      </c>
      <c r="C10">
        <v>42</v>
      </c>
    </row>
    <row r="11" spans="1:7">
      <c r="A11" t="s">
        <v>6</v>
      </c>
      <c r="B11" t="s">
        <v>21</v>
      </c>
      <c r="C11">
        <v>1</v>
      </c>
    </row>
    <row r="12" spans="1:7">
      <c r="A12" t="s">
        <v>6</v>
      </c>
      <c r="B12" t="s">
        <v>20</v>
      </c>
      <c r="C12">
        <v>11</v>
      </c>
    </row>
    <row r="13" spans="1:7">
      <c r="A13" t="s">
        <v>7</v>
      </c>
      <c r="B13" t="s">
        <v>21</v>
      </c>
      <c r="C13">
        <v>1</v>
      </c>
    </row>
    <row r="14" spans="1:7">
      <c r="A14" t="s">
        <v>8</v>
      </c>
      <c r="B14" t="s">
        <v>15</v>
      </c>
      <c r="C14">
        <v>9</v>
      </c>
    </row>
    <row r="15" spans="1:7">
      <c r="A15" t="s">
        <v>8</v>
      </c>
      <c r="B15" t="s">
        <v>21</v>
      </c>
      <c r="C15">
        <v>27</v>
      </c>
    </row>
    <row r="16" spans="1:7">
      <c r="A16" t="s">
        <v>8</v>
      </c>
      <c r="B16" t="s">
        <v>19</v>
      </c>
      <c r="C16">
        <v>24</v>
      </c>
    </row>
    <row r="17" spans="1:6">
      <c r="A17" t="s">
        <v>8</v>
      </c>
      <c r="B17" t="s">
        <v>23</v>
      </c>
      <c r="C17">
        <v>1</v>
      </c>
    </row>
    <row r="18" spans="1:6">
      <c r="A18" t="s">
        <v>8</v>
      </c>
      <c r="B18" t="s">
        <v>20</v>
      </c>
      <c r="C18">
        <v>48</v>
      </c>
    </row>
    <row r="19" spans="1:6">
      <c r="A19" t="s">
        <v>9</v>
      </c>
      <c r="B19" t="s">
        <v>23</v>
      </c>
      <c r="C19">
        <v>1</v>
      </c>
      <c r="E19" s="2" t="s">
        <v>0</v>
      </c>
      <c r="F19" t="s">
        <v>2</v>
      </c>
    </row>
    <row r="20" spans="1:6">
      <c r="A20" t="s">
        <v>10</v>
      </c>
      <c r="B20" t="s">
        <v>20</v>
      </c>
      <c r="C20">
        <v>6</v>
      </c>
      <c r="E20" t="s">
        <v>14</v>
      </c>
      <c r="F20">
        <v>1221</v>
      </c>
    </row>
    <row r="21" spans="1:6">
      <c r="A21" t="s">
        <v>10</v>
      </c>
      <c r="B21" t="s">
        <v>19</v>
      </c>
      <c r="C21">
        <v>5</v>
      </c>
      <c r="E21" t="s">
        <v>8</v>
      </c>
      <c r="F21">
        <v>109</v>
      </c>
    </row>
    <row r="22" spans="1:6">
      <c r="A22" t="s">
        <v>10</v>
      </c>
      <c r="B22" t="s">
        <v>21</v>
      </c>
      <c r="C22">
        <v>2</v>
      </c>
      <c r="E22" t="s">
        <v>11</v>
      </c>
      <c r="F22">
        <v>85</v>
      </c>
    </row>
    <row r="23" spans="1:6">
      <c r="A23" t="s">
        <v>10</v>
      </c>
      <c r="B23" t="s">
        <v>23</v>
      </c>
      <c r="C23">
        <v>15</v>
      </c>
      <c r="E23" t="s">
        <v>6</v>
      </c>
      <c r="F23">
        <v>56</v>
      </c>
    </row>
    <row r="24" spans="1:6">
      <c r="A24" t="s">
        <v>10</v>
      </c>
      <c r="B24" t="s">
        <v>18</v>
      </c>
      <c r="C24">
        <v>7</v>
      </c>
      <c r="E24" t="s">
        <v>3</v>
      </c>
      <c r="F24">
        <v>45</v>
      </c>
    </row>
    <row r="25" spans="1:6">
      <c r="A25" t="s">
        <v>11</v>
      </c>
      <c r="B25" t="s">
        <v>30</v>
      </c>
      <c r="C25">
        <v>20</v>
      </c>
      <c r="E25" t="s">
        <v>10</v>
      </c>
      <c r="F25">
        <v>35</v>
      </c>
    </row>
    <row r="26" spans="1:6">
      <c r="A26" t="s">
        <v>11</v>
      </c>
      <c r="B26" t="s">
        <v>20</v>
      </c>
      <c r="C26">
        <v>1</v>
      </c>
      <c r="E26" t="s">
        <v>13</v>
      </c>
      <c r="F26">
        <v>16</v>
      </c>
    </row>
    <row r="27" spans="1:6">
      <c r="A27" t="s">
        <v>11</v>
      </c>
      <c r="B27" t="s">
        <v>17</v>
      </c>
      <c r="C27">
        <v>1</v>
      </c>
      <c r="E27" t="s">
        <v>5</v>
      </c>
      <c r="F27">
        <v>6</v>
      </c>
    </row>
    <row r="28" spans="1:6">
      <c r="A28" t="s">
        <v>11</v>
      </c>
      <c r="B28" t="s">
        <v>19</v>
      </c>
      <c r="C28">
        <v>3</v>
      </c>
      <c r="E28" t="s">
        <v>12</v>
      </c>
      <c r="F28">
        <v>5</v>
      </c>
    </row>
    <row r="29" spans="1:6">
      <c r="A29" t="s">
        <v>11</v>
      </c>
      <c r="B29" t="s">
        <v>21</v>
      </c>
      <c r="C29">
        <v>1</v>
      </c>
      <c r="E29" t="s">
        <v>4</v>
      </c>
      <c r="F29">
        <v>2</v>
      </c>
    </row>
    <row r="30" spans="1:6">
      <c r="A30" t="s">
        <v>11</v>
      </c>
      <c r="B30" t="s">
        <v>31</v>
      </c>
      <c r="C30">
        <v>8</v>
      </c>
      <c r="E30" t="s">
        <v>7</v>
      </c>
      <c r="F30">
        <v>1</v>
      </c>
    </row>
    <row r="31" spans="1:6">
      <c r="A31" t="s">
        <v>11</v>
      </c>
      <c r="B31" t="s">
        <v>27</v>
      </c>
      <c r="C31">
        <v>4</v>
      </c>
      <c r="E31" t="s">
        <v>9</v>
      </c>
      <c r="F31">
        <v>1</v>
      </c>
    </row>
    <row r="32" spans="1:6">
      <c r="A32" t="s">
        <v>11</v>
      </c>
      <c r="B32" t="s">
        <v>29</v>
      </c>
      <c r="C32">
        <v>46</v>
      </c>
      <c r="E32" t="s">
        <v>25</v>
      </c>
      <c r="F32">
        <v>1582</v>
      </c>
    </row>
    <row r="33" spans="1:3">
      <c r="A33" t="s">
        <v>11</v>
      </c>
      <c r="B33" t="s">
        <v>28</v>
      </c>
      <c r="C33">
        <v>1</v>
      </c>
    </row>
    <row r="34" spans="1:3">
      <c r="A34" t="s">
        <v>12</v>
      </c>
      <c r="B34" t="s">
        <v>29</v>
      </c>
      <c r="C34">
        <v>1</v>
      </c>
    </row>
    <row r="35" spans="1:3">
      <c r="A35" t="s">
        <v>12</v>
      </c>
      <c r="B35" t="s">
        <v>23</v>
      </c>
      <c r="C35">
        <v>1</v>
      </c>
    </row>
    <row r="36" spans="1:3">
      <c r="A36" t="s">
        <v>12</v>
      </c>
      <c r="B36" t="s">
        <v>21</v>
      </c>
      <c r="C36">
        <v>1</v>
      </c>
    </row>
    <row r="37" spans="1:3">
      <c r="A37" t="s">
        <v>12</v>
      </c>
      <c r="B37" t="s">
        <v>20</v>
      </c>
      <c r="C37">
        <v>2</v>
      </c>
    </row>
    <row r="38" spans="1:3">
      <c r="A38" t="s">
        <v>13</v>
      </c>
      <c r="B38" t="s">
        <v>19</v>
      </c>
      <c r="C38">
        <v>1</v>
      </c>
    </row>
    <row r="39" spans="1:3">
      <c r="A39" t="s">
        <v>13</v>
      </c>
      <c r="B39" t="s">
        <v>15</v>
      </c>
      <c r="C39">
        <v>1</v>
      </c>
    </row>
    <row r="40" spans="1:3">
      <c r="A40" t="s">
        <v>13</v>
      </c>
      <c r="B40" t="s">
        <v>23</v>
      </c>
      <c r="C40">
        <v>11</v>
      </c>
    </row>
    <row r="41" spans="1:3">
      <c r="A41" t="s">
        <v>13</v>
      </c>
      <c r="B41" t="s">
        <v>21</v>
      </c>
      <c r="C41">
        <v>3</v>
      </c>
    </row>
    <row r="42" spans="1:3">
      <c r="A42" t="s">
        <v>14</v>
      </c>
      <c r="B42" t="s">
        <v>19</v>
      </c>
      <c r="C42">
        <v>93</v>
      </c>
    </row>
    <row r="43" spans="1:3">
      <c r="A43" t="s">
        <v>14</v>
      </c>
      <c r="B43" t="s">
        <v>16</v>
      </c>
      <c r="C43">
        <v>248</v>
      </c>
    </row>
    <row r="44" spans="1:3">
      <c r="A44" t="s">
        <v>14</v>
      </c>
      <c r="B44" t="s">
        <v>22</v>
      </c>
      <c r="C44">
        <v>379</v>
      </c>
    </row>
    <row r="45" spans="1:3">
      <c r="A45" t="s">
        <v>14</v>
      </c>
      <c r="B45" t="s">
        <v>21</v>
      </c>
      <c r="C45">
        <v>53</v>
      </c>
    </row>
    <row r="46" spans="1:3">
      <c r="A46" t="s">
        <v>14</v>
      </c>
      <c r="B46" t="s">
        <v>23</v>
      </c>
      <c r="C46">
        <v>32</v>
      </c>
    </row>
    <row r="47" spans="1:3">
      <c r="A47" t="s">
        <v>14</v>
      </c>
      <c r="B47" t="s">
        <v>17</v>
      </c>
      <c r="C47">
        <v>98</v>
      </c>
    </row>
    <row r="48" spans="1:3">
      <c r="A48" t="s">
        <v>14</v>
      </c>
      <c r="B48" t="s">
        <v>18</v>
      </c>
      <c r="C48">
        <v>276</v>
      </c>
    </row>
    <row r="49" spans="1:3">
      <c r="A49" t="s">
        <v>14</v>
      </c>
      <c r="B49" t="s">
        <v>15</v>
      </c>
      <c r="C49">
        <v>5</v>
      </c>
    </row>
    <row r="50" spans="1:3">
      <c r="A50" t="s">
        <v>14</v>
      </c>
      <c r="B50" t="s">
        <v>20</v>
      </c>
      <c r="C50">
        <v>37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2026-09-13T21:13:24Z</dcterms:modified>
  <cp:category/>
  <cp:contentStatus/>
</cp:coreProperties>
</file>